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Sheet2" sheetId="1" state="hidden" r:id="rId3"/>
    <sheet name="Sheet1" sheetId="2" state="visible" r:id="rId4"/>
    <sheet name="Sheet4" sheetId="3" state="hidden" r:id="rId5"/>
  </sheets>
  <definedNames>
    <definedName function="false" hidden="true" localSheetId="1" name="_xlnm._FilterDatabase" vbProcedure="false">Sheet1!$A$1:$M$58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<sst xmlns="http://schemas.openxmlformats.org/spreadsheetml/2006/main" count="46" uniqueCount="38">
  <si>
    <t xml:space="preserve">Thickness</t>
  </si>
  <si>
    <t xml:space="preserve">MARK</t>
  </si>
  <si>
    <t xml:space="preserve">(empty)</t>
  </si>
  <si>
    <t xml:space="preserve">(empty) Result</t>
  </si>
  <si>
    <t xml:space="preserve">M1</t>
  </si>
  <si>
    <t xml:space="preserve"> 100.00  Result</t>
  </si>
  <si>
    <t xml:space="preserve">M2</t>
  </si>
  <si>
    <t xml:space="preserve"> 400.00  Result</t>
  </si>
  <si>
    <t xml:space="preserve">M3</t>
  </si>
  <si>
    <t xml:space="preserve"> 500.00  Result</t>
  </si>
  <si>
    <t xml:space="preserve">Total Result</t>
  </si>
  <si>
    <t xml:space="preserve">Wd</t>
  </si>
  <si>
    <t xml:space="preserve">SLAB CUTTING - </t>
  </si>
  <si>
    <t xml:space="preserve">A(W1)</t>
  </si>
  <si>
    <t xml:space="preserve">B(W2)</t>
  </si>
  <si>
    <t xml:space="preserve">C</t>
  </si>
  <si>
    <t xml:space="preserve">D(length)</t>
  </si>
  <si>
    <t xml:space="preserve">alpha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</si>
  <si>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</si>
  <si>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</si>
  <si>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</si>
  <si>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</si>
  <si>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</si>
  <si>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</si>
  <si>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</si>
  <si>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</si>
  <si>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</si>
  <si>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</si>
  <si>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r>
      <rPr>
        <sz val="12"/>
        <color theme="1"/>
        <rFont val="Tahoma"/>
        <family val="2"/>
        <charset val="1"/>
      </rPr>
      <t xml:space="preserve">Table – 1 Manpower planning for Phase - I</t>
    </r>
    <r>
      <rPr>
        <sz val="8"/>
        <color theme="1"/>
        <rFont val="Calibri"/>
        <family val="2"/>
        <charset val="1"/>
      </rPr>
      <t xml:space="preserve"> </t>
    </r>
  </si>
  <si>
    <t xml:space="preserve">Shift</t>
  </si>
  <si>
    <t xml:space="preserve">Total Required from DE</t>
  </si>
  <si>
    <t xml:space="preserve">Operators         (ITI)</t>
  </si>
  <si>
    <t xml:space="preserve">A</t>
  </si>
  <si>
    <t xml:space="preserve">Maintenance     (ITI)</t>
  </si>
  <si>
    <t xml:space="preserve">Helpers             (ITI)</t>
  </si>
  <si>
    <t xml:space="preserve">A,G,B</t>
  </si>
  <si>
    <t xml:space="preserve">House keeping</t>
  </si>
  <si>
    <r>
      <rPr>
        <sz val="8"/>
        <color theme="1"/>
        <rFont val="Calibri"/>
        <family val="2"/>
        <charset val="1"/>
      </rPr>
      <t xml:space="preserve"> </t>
    </r>
    <r>
      <rPr>
        <sz val="10"/>
        <color theme="1"/>
        <rFont val="Calibri"/>
        <family val="2"/>
        <charset val="1"/>
      </rPr>
      <t xml:space="preserve">This number must be referred and the same can increase based on the production requirement, 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</si>
</sst>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theme="1"/>
      <name val="Tahoma"/>
      <family val="2"/>
      <charset val="1"/>
    </font>
    <font>
      <sz val="8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M58" sheet="Sheet1"/>
  </cacheSource>
  <cacheFields count="13">
    <cacheField name="MARK" numFmtId="0">
      <sharedItems containsBlank="1" count="4">
        <s v="M1"/>
        <s v="M2"/>
        <s v="M3"/>
        <m/>
      </sharedItems>
    </cacheField>
    <cacheField name="A(W1)" numFmtId="0">
      <sharedItems containsString="0" containsBlank="1" containsNumber="1" containsInteger="1" minValue="240" maxValue="340" count="3">
        <n v="240"/>
        <n v="340"/>
        <m/>
      </sharedItems>
    </cacheField>
    <cacheField name="B(W2)" numFmtId="0">
      <sharedItems containsString="0" containsBlank="1" containsNumber="1" containsInteger="1" minValue="245" maxValue="348" count="3">
        <n v="245"/>
        <n v="348"/>
        <m/>
      </sharedItems>
    </cacheField>
    <cacheField name="C" numFmtId="0">
      <sharedItems containsString="0" containsBlank="1" count="1">
        <m/>
      </sharedItems>
    </cacheField>
    <cacheField name="D(length)" numFmtId="0">
      <sharedItems containsString="0" containsBlank="1" containsNumber="1" containsInteger="1" minValue="150" maxValue="480" count="4">
        <n v="150"/>
        <n v="350"/>
        <n v="480"/>
        <m/>
      </sharedItems>
    </cacheField>
    <cacheField name="Thickness" numFmtId="0">
      <sharedItems containsString="0" containsBlank="1" containsNumber="1" containsInteger="1" minValue="100" maxValue="500" count="4">
        <n v="100"/>
        <n v="400"/>
        <n v="500"/>
        <m/>
      </sharedItems>
    </cacheField>
    <cacheField name="alpha" numFmtId="0">
      <sharedItems containsString="0" containsBlank="1" count="1">
        <m/>
      </sharedItems>
    </cacheField>
    <cacheField name="Column H" numFmtId="0">
      <sharedItems containsString="0" containsBlank="1" count="1">
        <m/>
      </sharedItems>
    </cacheField>
    <cacheField name="Column I" numFmtId="0">
      <sharedItems containsString="0" containsBlank="1" count="1">
        <m/>
      </sharedItems>
    </cacheField>
    <cacheField name="Column J" numFmtId="0">
      <sharedItems containsString="0" containsBlank="1" count="1">
        <m/>
      </sharedItems>
    </cacheField>
    <cacheField name="Column K" numFmtId="0">
      <sharedItems containsString="0" containsBlank="1" count="1">
        <m/>
      </sharedItems>
    </cacheField>
    <cacheField name="Column L" numFmtId="0">
      <sharedItems containsString="0" containsBlank="1" count="1">
        <m/>
      </sharedItems>
    </cacheField>
    <cacheField name="Column M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  <x v="0"/>
    <x v="1"/>
    <x v="0"/>
    <x v="0"/>
    <x v="0"/>
    <x v="0"/>
    <x v="0"/>
    <x v="0"/>
    <x v="0"/>
    <x v="0"/>
  </r>
  <r>
    <x v="1"/>
    <x v="1"/>
    <x v="1"/>
    <x v="0"/>
    <x v="2"/>
    <x v="1"/>
    <x v="0"/>
    <x v="0"/>
    <x v="0"/>
    <x v="0"/>
    <x v="0"/>
    <x v="0"/>
    <x v="0"/>
  </r>
  <r>
    <x v="2"/>
    <x v="1"/>
    <x v="1"/>
    <x v="0"/>
    <x v="0"/>
    <x v="2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12" firstHeaderRow="1" firstDataRow="1" firstDataCol="2"/>
  <pivotFields count="13">
    <pivotField axis="axisRow" compact="0" showAll="0" outline="0">
      <items count="5">
        <item x="0"/>
        <item x="2"/>
        <item x="3"/>
        <item x="1"/>
        <item t="default"/>
      </items>
    </pivotField>
    <pivotField compact="0" showAll="0" outline="0"/>
    <pivotField compact="0" showAll="0" outline="0"/>
    <pivotField compact="0" showAll="0"/>
    <pivotField compact="0" showAll="0" outline="0"/>
    <pivotField axis="axisRow" compact="0" showAll="0" outline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"/>
    <field x="0"/>
  </rowFields>
  <rowItems count="9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 t="grand">
      <x v="8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3984375" defaultRowHeight="14.25" customHeight="true" zeroHeight="false" outlineLevelRow="0" outlineLevelCol="0"/>
  <cols>
    <col collapsed="false" customWidth="true" hidden="false" outlineLevel="0" max="1" min="1" style="1" width="11.18"/>
    <col collapsed="false" customWidth="true" hidden="false" outlineLevel="0" max="2" min="2" style="1" width="8.18"/>
    <col collapsed="false" customWidth="true" hidden="false" outlineLevel="0" max="4" min="3" style="1" width="5.45"/>
    <col collapsed="false" customWidth="true" hidden="false" outlineLevel="0" max="5" min="5" style="1" width="5.82"/>
    <col collapsed="false" customWidth="true" hidden="false" outlineLevel="0" max="6" min="6" style="1" width="3.82"/>
    <col collapsed="false" customWidth="true" hidden="false" outlineLevel="0" max="7" min="7" style="2" width="5.82"/>
    <col collapsed="false" customWidth="true" hidden="false" outlineLevel="0" max="8" min="8" style="1" width="14.37"/>
    <col collapsed="false" customWidth="true" hidden="false" outlineLevel="0" max="22" min="9" style="1" width="5.82"/>
    <col collapsed="false" customWidth="true" hidden="false" outlineLevel="0" max="23" min="23" style="1" width="3.82"/>
    <col collapsed="false" customWidth="true" hidden="false" outlineLevel="0" max="31" min="24" style="1" width="5.82"/>
    <col collapsed="false" customWidth="true" hidden="false" outlineLevel="0" max="32" min="32" style="1" width="2.09"/>
    <col collapsed="false" customWidth="true" hidden="false" outlineLevel="0" max="33" min="33" style="1" width="10.73"/>
  </cols>
  <sheetData>
    <row r="3" customFormat="false" ht="14.25" hidden="false" customHeight="false" outlineLevel="0" collapsed="false">
      <c r="A3" s="3" t="s">
        <v>0</v>
      </c>
      <c r="B3" s="4" t="s">
        <v>1</v>
      </c>
      <c r="C3" s="5" t="s">
        <v>2</v>
      </c>
    </row>
    <row r="4" customFormat="false" ht="14.25" hidden="false" customHeight="false" outlineLevel="0" collapsed="false">
      <c r="A4" s="6" t="s">
        <v>2</v>
      </c>
      <c r="B4" s="7" t="s">
        <v>2</v>
      </c>
      <c r="C4" s="8"/>
    </row>
    <row r="5" s="12" customFormat="true" ht="21.75" hidden="false" customHeight="true" outlineLevel="0" collapsed="false">
      <c r="A5" s="9" t="s">
        <v>3</v>
      </c>
      <c r="B5" s="10"/>
      <c r="C5" s="11"/>
      <c r="G5" s="13"/>
    </row>
    <row r="6" s="12" customFormat="true" ht="21.75" hidden="false" customHeight="true" outlineLevel="0" collapsed="false">
      <c r="A6" s="6" t="n">
        <v>100</v>
      </c>
      <c r="B6" s="7" t="s">
        <v>4</v>
      </c>
      <c r="C6" s="8"/>
      <c r="G6" s="13"/>
    </row>
    <row r="7" s="12" customFormat="true" ht="21.75" hidden="false" customHeight="true" outlineLevel="0" collapsed="false">
      <c r="A7" s="9" t="s">
        <v>5</v>
      </c>
      <c r="B7" s="10"/>
      <c r="C7" s="11"/>
      <c r="G7" s="13"/>
    </row>
    <row r="8" s="12" customFormat="true" ht="21.75" hidden="false" customHeight="true" outlineLevel="0" collapsed="false">
      <c r="A8" s="6" t="n">
        <v>400</v>
      </c>
      <c r="B8" s="7" t="s">
        <v>6</v>
      </c>
      <c r="C8" s="8"/>
      <c r="G8" s="13"/>
    </row>
    <row r="9" s="12" customFormat="true" ht="21.75" hidden="false" customHeight="true" outlineLevel="0" collapsed="false">
      <c r="A9" s="9" t="s">
        <v>7</v>
      </c>
      <c r="B9" s="10"/>
      <c r="C9" s="11"/>
      <c r="G9" s="13"/>
    </row>
    <row r="10" s="12" customFormat="true" ht="21.75" hidden="false" customHeight="true" outlineLevel="0" collapsed="false">
      <c r="A10" s="6" t="n">
        <v>500</v>
      </c>
      <c r="B10" s="7" t="s">
        <v>8</v>
      </c>
      <c r="C10" s="8"/>
      <c r="G10" s="13"/>
    </row>
    <row r="11" s="12" customFormat="true" ht="21.75" hidden="false" customHeight="true" outlineLevel="0" collapsed="false">
      <c r="A11" s="9" t="s">
        <v>9</v>
      </c>
      <c r="B11" s="10"/>
      <c r="C11" s="11"/>
      <c r="G11" s="13"/>
    </row>
    <row r="12" s="12" customFormat="true" ht="21.75" hidden="false" customHeight="true" outlineLevel="0" collapsed="false">
      <c r="A12" s="14" t="s">
        <v>10</v>
      </c>
      <c r="B12" s="15"/>
      <c r="C12" s="16"/>
      <c r="G12" s="13"/>
    </row>
    <row r="13" s="12" customFormat="true" ht="21.75" hidden="false" customHeight="true" outlineLevel="0" collapsed="false">
      <c r="A13" s="1"/>
      <c r="B13" s="1"/>
      <c r="C13" s="1"/>
      <c r="G13" s="13"/>
    </row>
    <row r="14" s="12" customFormat="true" ht="21.75" hidden="false" customHeight="true" outlineLevel="0" collapsed="false">
      <c r="A14" s="1"/>
      <c r="B14" s="1"/>
      <c r="C14" s="1"/>
      <c r="G14" s="13"/>
    </row>
    <row r="15" customFormat="false" ht="14.25" hidden="false" customHeight="false" outlineLevel="0" collapsed="false"/>
    <row r="16" customFormat="false" ht="14.25" hidden="false" customHeight="false" outlineLevel="0" collapsed="false"/>
    <row r="17" customFormat="false" ht="14.25" hidden="false" customHeight="false" outlineLevel="0" collapsed="false"/>
    <row r="18" customFormat="false" ht="14.25" hidden="false" customHeight="false" outlineLevel="0" collapsed="false"/>
    <row r="19" customFormat="false" ht="14.25" hidden="false" customHeight="false" outlineLevel="0" collapsed="false"/>
    <row r="20" customFormat="false" ht="14.25" hidden="false" customHeight="false" outlineLevel="0" collapsed="false"/>
    <row r="21" customFormat="false" ht="14.25" hidden="false" customHeight="false" outlineLevel="0" collapsed="false"/>
    <row r="22" customFormat="false" ht="14.25" hidden="false" customHeight="false" outlineLevel="0" collapsed="false"/>
    <row r="23" customFormat="false" ht="14.25" hidden="false" customHeight="false" outlineLevel="0" collapsed="false"/>
    <row r="24" customFormat="false" ht="14.25" hidden="false" customHeight="false" outlineLevel="0" collapsed="false"/>
    <row r="25" customFormat="false" ht="14.25" hidden="false" customHeight="false" outlineLevel="0" collapsed="false"/>
    <row r="26" customFormat="false" ht="14.25" hidden="false" customHeight="false" outlineLevel="0" collapsed="false"/>
    <row r="27" customFormat="false" ht="14.25" hidden="false" customHeight="false" outlineLevel="0" collapsed="false"/>
    <row r="28" customFormat="false" ht="14.25" hidden="false" customHeight="false" outlineLevel="0" collapsed="false"/>
    <row r="29" customFormat="false" ht="14.25" hidden="false" customHeight="false" outlineLevel="0" collapsed="false"/>
    <row r="30" customFormat="false" ht="14.25" hidden="false" customHeight="false" outlineLevel="0" collapsed="false"/>
    <row r="31" customFormat="false" ht="14.25" hidden="false" customHeight="false" outlineLevel="0" collapsed="false"/>
    <row r="32" customFormat="false" ht="14.25" hidden="false" customHeight="false" outlineLevel="0" collapsed="false"/>
    <row r="33" customFormat="false" ht="14.25" hidden="false" customHeight="false" outlineLevel="0" collapsed="false"/>
    <row r="34" customFormat="false" ht="14.25" hidden="false" customHeight="false" outlineLevel="0" collapsed="false"/>
    <row r="35" customFormat="false" ht="14.25" hidden="false" customHeight="false" outlineLevel="0" collapsed="false"/>
    <row r="36" customFormat="false" ht="14.25" hidden="false" customHeight="false" outlineLevel="0" collapsed="false"/>
    <row r="37" customFormat="false" ht="14.25" hidden="false" customHeight="false" outlineLevel="0" collapsed="false"/>
    <row r="38" customFormat="false" ht="14.25" hidden="false" customHeight="false" outlineLevel="0" collapsed="false"/>
    <row r="39" customFormat="false" ht="14.25" hidden="false" customHeight="false" outlineLevel="0" collapsed="false"/>
    <row r="40" customFormat="false" ht="14.25" hidden="false" customHeight="false" outlineLevel="0" collapsed="false"/>
    <row r="41" customFormat="false" ht="14.25" hidden="false" customHeight="false" outlineLevel="0" collapsed="false"/>
    <row r="42" customFormat="false" ht="14.25" hidden="false" customHeight="false" outlineLevel="0" collapsed="false"/>
    <row r="43" customFormat="false" ht="14.25" hidden="false" customHeight="false" outlineLevel="0" collapsed="false"/>
    <row r="44" customFormat="false" ht="14.25" hidden="false" customHeight="false" outlineLevel="0" collapsed="false"/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>
      <c r="G47" s="2" t="s">
        <v>11</v>
      </c>
      <c r="H47" s="1" t="s">
        <v>12</v>
      </c>
    </row>
    <row r="48" customFormat="false" ht="14.25" hidden="false" customHeight="false" outlineLevel="0" collapsed="false">
      <c r="G48" s="2" t="n">
        <v>202</v>
      </c>
      <c r="H48" s="17" t="n">
        <v>3</v>
      </c>
    </row>
    <row r="49" customFormat="false" ht="14.25" hidden="false" customHeight="false" outlineLevel="0" collapsed="false">
      <c r="G49" s="2" t="n">
        <v>165.2</v>
      </c>
      <c r="H49" s="17" t="n">
        <f aca="false">0.96*202/G49</f>
        <v>1.17384987893462</v>
      </c>
      <c r="I49" s="1" t="n">
        <v>1</v>
      </c>
    </row>
    <row r="50" customFormat="false" ht="14.25" hidden="false" customHeight="false" outlineLevel="0" collapsed="false">
      <c r="G50" s="2" t="n">
        <v>94</v>
      </c>
      <c r="H50" s="17" t="n">
        <f aca="false">G49*0.826/G50</f>
        <v>1.45165106382979</v>
      </c>
      <c r="I50" s="1" t="n">
        <v>1</v>
      </c>
    </row>
    <row r="51" customFormat="false" ht="14.25" hidden="false" customHeight="false" outlineLevel="0" collapsed="false">
      <c r="G51" s="2" t="n">
        <v>82.4</v>
      </c>
      <c r="H51" s="17" t="n">
        <f aca="false">0.452*94</f>
        <v>42.488</v>
      </c>
    </row>
    <row r="52" customFormat="false" ht="14.25" hidden="false" customHeight="false" outlineLevel="0" collapsed="false"/>
    <row r="53" customFormat="false" ht="14.25" hidden="false" customHeight="false" outlineLevel="0" collapsed="false"/>
    <row r="54" customFormat="false" ht="14.25" hidden="false" customHeight="false" outlineLevel="0" collapsed="false"/>
    <row r="55" customFormat="false" ht="14.25" hidden="false" customHeight="false" outlineLevel="0" collapsed="false"/>
    <row r="56" customFormat="false" ht="14.25" hidden="false" customHeight="false" outlineLevel="0" collapsed="false"/>
    <row r="57" customFormat="false" ht="14.25" hidden="false" customHeight="false" outlineLevel="0" collapsed="false"/>
    <row r="58" customFormat="false" ht="14.25" hidden="false" customHeight="false" outlineLevel="0" collapsed="false"/>
    <row r="59" customFormat="false" ht="14.25" hidden="false" customHeight="false" outlineLevel="0" collapsed="false"/>
    <row r="60" customFormat="false" ht="14.25" hidden="false" customHeight="false" outlineLevel="0" collapsed="false"/>
    <row r="61" customFormat="false" ht="14.25" hidden="false" customHeight="false" outlineLevel="0" collapsed="false"/>
    <row r="62" customFormat="false" ht="14.25" hidden="false" customHeight="false" outlineLevel="0" collapsed="false"/>
    <row r="63" customFormat="false" ht="14.25" hidden="false" customHeight="false" outlineLevel="0" collapsed="false"/>
    <row r="64" customFormat="false" ht="14.25" hidden="false" customHeight="false" outlineLevel="0" collapsed="false"/>
    <row r="65" customFormat="false" ht="14.25" hidden="false" customHeight="false" outlineLevel="0" collapsed="false"/>
    <row r="66" customFormat="false" ht="14.25" hidden="false" customHeight="false" outlineLevel="0" collapsed="false"/>
    <row r="67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9"/>
  <sheetViews>
    <sheetView showFormulas="false" showGridLines="fals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18.8515625" defaultRowHeight="23.25" customHeight="true" zeroHeight="false" outlineLevelRow="0" outlineLevelCol="0"/>
  <cols>
    <col collapsed="false" customWidth="false" hidden="false" outlineLevel="0" max="14" min="1" style="18" width="18.85"/>
    <col collapsed="false" customWidth="false" hidden="false" outlineLevel="0" max="16384" min="15" style="19" width="18.85"/>
  </cols>
  <sheetData>
    <row r="1" s="22" customFormat="true" ht="23.25" hidden="false" customHeight="true" outlineLevel="0" collapsed="false">
      <c r="A1" s="20" t="s">
        <v>1</v>
      </c>
      <c r="B1" s="20" t="s">
        <v>13</v>
      </c>
      <c r="C1" s="20" t="s">
        <v>14</v>
      </c>
      <c r="D1" s="20" t="s">
        <v>15</v>
      </c>
      <c r="E1" s="20" t="s">
        <v>16</v>
      </c>
      <c r="F1" s="20" t="s">
        <v>0</v>
      </c>
      <c r="G1" s="21" t="s">
        <v>17</v>
      </c>
      <c r="H1" s="20"/>
      <c r="I1" s="20"/>
      <c r="J1" s="20"/>
      <c r="K1" s="20"/>
      <c r="L1" s="20"/>
      <c r="M1" s="20"/>
      <c r="N1" s="18"/>
    </row>
    <row r="2" customFormat="false" ht="23.25" hidden="false" customHeight="false" outlineLevel="0" collapsed="false">
      <c r="A2" s="23" t="s">
        <v>4</v>
      </c>
      <c r="B2" s="23" t="n">
        <v>240</v>
      </c>
      <c r="C2" s="23" t="n">
        <v>245</v>
      </c>
      <c r="D2" s="23"/>
      <c r="E2" s="23" t="n">
        <v>350</v>
      </c>
      <c r="F2" s="23" t="n">
        <v>100</v>
      </c>
      <c r="G2" s="23"/>
      <c r="H2" s="23"/>
      <c r="I2" s="23"/>
      <c r="J2" s="23"/>
      <c r="K2" s="23"/>
      <c r="L2" s="23"/>
      <c r="M2" s="23"/>
    </row>
    <row r="3" customFormat="false" ht="23.25" hidden="false" customHeight="false" outlineLevel="0" collapsed="false">
      <c r="A3" s="23" t="s">
        <v>6</v>
      </c>
      <c r="B3" s="23" t="n">
        <v>340</v>
      </c>
      <c r="C3" s="23" t="n">
        <v>348</v>
      </c>
      <c r="D3" s="23"/>
      <c r="E3" s="23" t="n">
        <v>480</v>
      </c>
      <c r="F3" s="23" t="n">
        <v>400</v>
      </c>
      <c r="G3" s="23"/>
      <c r="H3" s="23"/>
      <c r="I3" s="23"/>
      <c r="J3" s="23"/>
      <c r="K3" s="23"/>
      <c r="L3" s="23"/>
      <c r="M3" s="23"/>
    </row>
    <row r="4" s="1" customFormat="true" ht="23.25" hidden="false" customHeight="false" outlineLevel="0" collapsed="false">
      <c r="A4" s="23" t="s">
        <v>8</v>
      </c>
      <c r="B4" s="23" t="n">
        <v>340</v>
      </c>
      <c r="C4" s="23" t="n">
        <v>348</v>
      </c>
      <c r="D4" s="23"/>
      <c r="E4" s="23" t="n">
        <v>150</v>
      </c>
      <c r="F4" s="23" t="n">
        <v>500</v>
      </c>
      <c r="G4" s="23"/>
      <c r="H4" s="23"/>
      <c r="I4" s="23"/>
      <c r="J4" s="23"/>
      <c r="K4" s="23"/>
      <c r="L4" s="23"/>
      <c r="M4" s="23"/>
      <c r="N4" s="18"/>
    </row>
    <row r="5" customFormat="false" ht="23.25" hidden="false" customHeight="false" outlineLevel="0" collapsed="false">
      <c r="A5" s="23" t="s">
        <v>18</v>
      </c>
      <c r="B5" s="24" t="n">
        <v>305</v>
      </c>
      <c r="C5" s="24" t="n">
        <v>305</v>
      </c>
      <c r="D5" s="25"/>
      <c r="E5" s="24" t="n">
        <v>550</v>
      </c>
      <c r="F5" s="24" t="n">
        <v>156</v>
      </c>
      <c r="G5" s="26"/>
      <c r="H5" s="25"/>
      <c r="I5" s="23"/>
      <c r="J5" s="23"/>
      <c r="K5" s="23"/>
      <c r="L5" s="23"/>
      <c r="M5" s="23"/>
    </row>
    <row r="6" customFormat="false" ht="23.25" hidden="false" customHeight="false" outlineLevel="0" collapsed="false">
      <c r="A6" s="23" t="s">
        <v>19</v>
      </c>
      <c r="B6" s="24" t="n">
        <v>305</v>
      </c>
      <c r="C6" s="24" t="n">
        <v>305</v>
      </c>
      <c r="D6" s="25"/>
      <c r="E6" s="24" t="n">
        <v>550</v>
      </c>
      <c r="F6" s="24" t="n">
        <v>480</v>
      </c>
      <c r="G6" s="26"/>
      <c r="H6" s="25"/>
      <c r="I6" s="23"/>
      <c r="J6" s="23"/>
      <c r="K6" s="23"/>
      <c r="L6" s="23"/>
      <c r="M6" s="23"/>
    </row>
    <row r="7" customFormat="false" ht="23.25" hidden="false" customHeight="false" outlineLevel="0" collapsed="false">
      <c r="A7" s="23" t="s">
        <v>20</v>
      </c>
      <c r="B7" s="24" t="n">
        <v>305</v>
      </c>
      <c r="C7" s="24" t="n">
        <v>305</v>
      </c>
      <c r="D7" s="25"/>
      <c r="E7" s="24" t="n">
        <v>550</v>
      </c>
      <c r="F7" s="24" t="n">
        <v>480</v>
      </c>
      <c r="G7" s="26"/>
      <c r="H7" s="25"/>
      <c r="I7" s="23"/>
      <c r="J7" s="23"/>
      <c r="K7" s="23"/>
      <c r="L7" s="23"/>
      <c r="M7" s="23"/>
    </row>
    <row r="8" customFormat="false" ht="23.25" hidden="false" customHeight="false" outlineLevel="0" collapsed="false">
      <c r="A8" s="23" t="s">
        <v>21</v>
      </c>
      <c r="B8" s="24" t="n">
        <v>305</v>
      </c>
      <c r="C8" s="24" t="n">
        <v>305</v>
      </c>
      <c r="D8" s="25"/>
      <c r="E8" s="24" t="n">
        <v>550</v>
      </c>
      <c r="F8" s="24" t="n">
        <v>156</v>
      </c>
      <c r="G8" s="26"/>
      <c r="H8" s="25"/>
      <c r="I8" s="23"/>
      <c r="J8" s="23"/>
      <c r="K8" s="23"/>
      <c r="L8" s="23"/>
      <c r="M8" s="23"/>
    </row>
    <row r="9" customFormat="false" ht="23.25" hidden="false" customHeight="false" outlineLevel="0" collapsed="false">
      <c r="A9" s="23" t="s">
        <v>22</v>
      </c>
      <c r="B9" s="24" t="n">
        <v>325</v>
      </c>
      <c r="C9" s="24" t="n">
        <v>325</v>
      </c>
      <c r="D9" s="25"/>
      <c r="E9" s="24" t="n">
        <v>550</v>
      </c>
      <c r="F9" s="24" t="n">
        <v>506</v>
      </c>
      <c r="G9" s="26"/>
      <c r="H9" s="25"/>
      <c r="I9" s="23"/>
      <c r="J9" s="23"/>
      <c r="K9" s="23"/>
      <c r="L9" s="23"/>
      <c r="M9" s="23"/>
    </row>
    <row r="10" customFormat="false" ht="23.25" hidden="false" customHeight="false" outlineLevel="0" collapsed="false">
      <c r="A10" s="23" t="s">
        <v>23</v>
      </c>
      <c r="B10" s="24" t="n">
        <v>325</v>
      </c>
      <c r="C10" s="24" t="n">
        <v>325</v>
      </c>
      <c r="D10" s="25"/>
      <c r="E10" s="24" t="n">
        <v>550</v>
      </c>
      <c r="F10" s="24" t="n">
        <v>506</v>
      </c>
      <c r="G10" s="26"/>
      <c r="H10" s="25"/>
      <c r="I10" s="23"/>
      <c r="J10" s="23"/>
      <c r="K10" s="23"/>
      <c r="L10" s="23"/>
      <c r="M10" s="23"/>
    </row>
    <row r="11" customFormat="false" ht="23.25" hidden="false" customHeight="false" outlineLevel="0" collapsed="false">
      <c r="A11" s="23" t="s">
        <v>24</v>
      </c>
      <c r="B11" s="24" t="n">
        <v>305</v>
      </c>
      <c r="C11" s="24" t="n">
        <v>305</v>
      </c>
      <c r="D11" s="25"/>
      <c r="E11" s="24" t="n">
        <v>550</v>
      </c>
      <c r="F11" s="24" t="n">
        <v>156</v>
      </c>
      <c r="G11" s="26"/>
      <c r="H11" s="25"/>
      <c r="I11" s="23"/>
      <c r="J11" s="23"/>
      <c r="K11" s="23"/>
      <c r="L11" s="23"/>
      <c r="M11" s="23"/>
    </row>
    <row r="12" customFormat="false" ht="23.25" hidden="false" customHeight="false" outlineLevel="0" collapsed="false">
      <c r="A12" s="23" t="s">
        <v>25</v>
      </c>
      <c r="B12" s="24" t="n">
        <v>305</v>
      </c>
      <c r="C12" s="24" t="n">
        <v>305</v>
      </c>
      <c r="D12" s="25"/>
      <c r="E12" s="24" t="n">
        <v>550</v>
      </c>
      <c r="F12" s="24" t="n">
        <v>480</v>
      </c>
      <c r="G12" s="26"/>
      <c r="H12" s="25"/>
      <c r="I12" s="23"/>
      <c r="J12" s="23"/>
      <c r="K12" s="23"/>
      <c r="L12" s="23"/>
      <c r="M12" s="23"/>
    </row>
    <row r="13" customFormat="false" ht="23.25" hidden="false" customHeight="false" outlineLevel="0" collapsed="false">
      <c r="A13" s="23" t="s">
        <v>26</v>
      </c>
      <c r="B13" s="24" t="n">
        <v>305</v>
      </c>
      <c r="C13" s="24" t="n">
        <v>305</v>
      </c>
      <c r="D13" s="25"/>
      <c r="E13" s="24" t="n">
        <v>550</v>
      </c>
      <c r="F13" s="24" t="n">
        <v>480</v>
      </c>
      <c r="G13" s="26"/>
      <c r="H13" s="25"/>
      <c r="I13" s="23"/>
      <c r="J13" s="23"/>
      <c r="K13" s="23"/>
      <c r="L13" s="23"/>
      <c r="M13" s="23"/>
    </row>
    <row r="14" customFormat="false" ht="23.25" hidden="false" customHeight="false" outlineLevel="0" collapsed="false">
      <c r="A14" s="23" t="s">
        <v>27</v>
      </c>
      <c r="B14" s="24" t="n">
        <v>305</v>
      </c>
      <c r="C14" s="24" t="n">
        <v>305</v>
      </c>
      <c r="D14" s="25"/>
      <c r="E14" s="24" t="n">
        <v>550</v>
      </c>
      <c r="F14" s="24" t="n">
        <v>156</v>
      </c>
      <c r="G14" s="26"/>
      <c r="H14" s="25"/>
      <c r="I14" s="23"/>
      <c r="J14" s="23"/>
      <c r="K14" s="23"/>
      <c r="L14" s="23"/>
      <c r="M14" s="23"/>
    </row>
    <row r="15" customFormat="false" ht="23.2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customFormat="false" ht="23.2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customFormat="false" ht="23.2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customFormat="false" ht="23.2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customFormat="false" ht="23.2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customFormat="false" ht="23.2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customFormat="false" ht="23.2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customFormat="false" ht="23.2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customFormat="false" ht="23.2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customFormat="false" ht="23.2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customFormat="false" ht="23.2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customFormat="false" ht="23.2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customFormat="false" ht="23.2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customFormat="false" ht="23.2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customFormat="false" ht="23.2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customFormat="false" ht="23.2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customFormat="false" ht="23.2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customFormat="false" ht="23.2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customFormat="false" ht="23.2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customFormat="false" ht="23.2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customFormat="false" ht="23.2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customFormat="false" ht="23.2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customFormat="false" ht="23.2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customFormat="false" ht="23.2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customFormat="false" ht="23.2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customFormat="false" ht="23.2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customFormat="false" ht="23.2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customFormat="false" ht="23.2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customFormat="false" ht="23.2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customFormat="false" ht="23.2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customFormat="false" ht="23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customFormat="false" ht="23.2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customFormat="false" ht="23.2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customFormat="false" ht="23.2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customFormat="false" ht="23.2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customFormat="false" ht="23.2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customFormat="false" ht="23.2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customFormat="false" ht="23.2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customFormat="false" ht="23.2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customFormat="false" ht="23.2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customFormat="false" ht="23.2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customFormat="false" ht="23.25" hidden="false" customHeight="fals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customFormat="false" ht="23.25" hidden="false" customHeight="fals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customFormat="false" ht="23.25" hidden="false" customHeight="fals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customFormat="false" ht="23.25" hidden="false" customHeight="false" outlineLevel="0" collapsed="false"/>
  </sheetData>
  <autoFilter ref="A1:M58"/>
  <printOptions headings="false" gridLines="false" gridLinesSet="true" horizontalCentered="true" verticalCentered="true"/>
  <pageMargins left="0" right="0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7" activeCellId="0" sqref="C7"/>
    </sheetView>
  </sheetViews>
  <sheetFormatPr defaultColWidth="8.3984375" defaultRowHeight="14.25" customHeight="true" zeroHeight="false" outlineLevelRow="0" outlineLevelCol="0"/>
  <cols>
    <col collapsed="false" customWidth="true" hidden="false" outlineLevel="0" max="1" min="1" style="1" width="75.73"/>
  </cols>
  <sheetData>
    <row r="2" customFormat="false" ht="18.5" hidden="false" customHeight="false" outlineLevel="0" collapsed="false">
      <c r="A2" s="27" t="s">
        <v>28</v>
      </c>
      <c r="B2" s="27"/>
      <c r="C2" s="28" t="s">
        <v>29</v>
      </c>
    </row>
    <row r="3" customFormat="false" ht="18.5" hidden="false" customHeight="false" outlineLevel="0" collapsed="false">
      <c r="A3" s="29" t="s">
        <v>30</v>
      </c>
      <c r="B3" s="28" t="n">
        <v>8</v>
      </c>
      <c r="C3" s="28"/>
    </row>
    <row r="4" customFormat="false" ht="18.5" hidden="false" customHeight="false" outlineLevel="0" collapsed="false">
      <c r="A4" s="29" t="s">
        <v>31</v>
      </c>
      <c r="B4" s="28" t="n">
        <v>1</v>
      </c>
      <c r="C4" s="28" t="s">
        <v>32</v>
      </c>
    </row>
    <row r="5" customFormat="false" ht="18.5" hidden="false" customHeight="false" outlineLevel="0" collapsed="false">
      <c r="A5" s="29" t="s">
        <v>33</v>
      </c>
      <c r="B5" s="28" t="n">
        <v>1</v>
      </c>
      <c r="C5" s="28" t="s">
        <v>32</v>
      </c>
    </row>
    <row r="6" customFormat="false" ht="18.5" hidden="false" customHeight="false" outlineLevel="0" collapsed="false">
      <c r="A6" s="29" t="s">
        <v>34</v>
      </c>
      <c r="B6" s="28" t="n">
        <v>3</v>
      </c>
      <c r="C6" s="28" t="s">
        <v>35</v>
      </c>
    </row>
    <row r="7" customFormat="false" ht="18.5" hidden="false" customHeight="false" outlineLevel="0" collapsed="false">
      <c r="A7" s="29" t="s">
        <v>36</v>
      </c>
      <c r="B7" s="28" t="n">
        <v>3</v>
      </c>
      <c r="C7" s="28" t="n">
        <v>3</v>
      </c>
    </row>
    <row r="8" customFormat="false" ht="15.5" hidden="false" customHeight="false" outlineLevel="0" collapsed="false">
      <c r="A8" s="30" t="s">
        <v>37</v>
      </c>
    </row>
  </sheetData>
  <mergeCells count="1"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68b740fe-e664-4150-8ed6-9d401b411767}" enabled="0" method="" siteId="{68b740fe-e664-4150-8ed6-9d401b4117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2023-09-26T09:03:14Z</dcterms:created>
  <dc:creator>Saxena, H</dc:creator>
  <dc:description/>
  <dc:language>en-IN</dc:language>
  <cp:lastModifiedBy/>
  <dcterms:modified xsi:type="dcterms:W3CDTF">2025-11-28T15:17:07Z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